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3f47eec4a703009/Documents/Research/evacuation_program/mini-mappo-master/temporary_files/obs_congestion/"/>
    </mc:Choice>
  </mc:AlternateContent>
  <xr:revisionPtr revIDLastSave="396" documentId="8_{BE75094A-8163-4D52-8ED1-FE911870F75B}" xr6:coauthVersionLast="47" xr6:coauthVersionMax="47" xr10:uidLastSave="{5ADD5BF6-F44D-4939-B4EA-2C6DD61E0C8D}"/>
  <bookViews>
    <workbookView xWindow="1900" yWindow="1900" windowWidth="19200" windowHeight="11170" xr2:uid="{00000000-000D-0000-FFFF-FFFF00000000}"/>
  </bookViews>
  <sheets>
    <sheet name="潮江地区 津波避難ビル" sheetId="1" r:id="rId1"/>
    <sheet name="注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2" i="1"/>
  <c r="F89" i="1" l="1"/>
</calcChain>
</file>

<file path=xl/sharedStrings.xml><?xml version="1.0" encoding="utf-8"?>
<sst xmlns="http://schemas.openxmlformats.org/spreadsheetml/2006/main" count="246" uniqueCount="116">
  <si>
    <t>潮江小学校区</t>
  </si>
  <si>
    <t>潮江中学校</t>
  </si>
  <si>
    <t>百石町市営住宅</t>
  </si>
  <si>
    <t>北竹島町市営住宅1号棟</t>
  </si>
  <si>
    <t>北竹島町市営住宅2号棟</t>
  </si>
  <si>
    <t>潮江第一コミュニティ住宅</t>
  </si>
  <si>
    <t>潮江第三コミュニティ住宅</t>
  </si>
  <si>
    <t>高知工業高等学校</t>
  </si>
  <si>
    <t>リヴィエール大橋</t>
  </si>
  <si>
    <t>ジョンマンマンション</t>
  </si>
  <si>
    <t>潮江小学校</t>
  </si>
  <si>
    <t>エルミタージュ天神</t>
  </si>
  <si>
    <t>クレアフジモト</t>
  </si>
  <si>
    <t>セントヴィレッジ</t>
  </si>
  <si>
    <t>カームリヴ</t>
  </si>
  <si>
    <t>オリザビル</t>
  </si>
  <si>
    <t>四国銀行 潮江支店</t>
  </si>
  <si>
    <t>潮江南小学校区</t>
  </si>
  <si>
    <t>潮江南小学校</t>
  </si>
  <si>
    <t>潮江東小学校区</t>
  </si>
  <si>
    <t>フィッシングハヤシ</t>
  </si>
  <si>
    <t>項目</t>
  </si>
  <si>
    <t>説明</t>
  </si>
  <si>
    <t>座標精度 ✓</t>
  </si>
  <si>
    <t>公式住所または公開座標データより取得</t>
  </si>
  <si>
    <t>座標精度 ~</t>
  </si>
  <si>
    <t>住所・地図上の位置より推定（精度 ±100～300m 程度）</t>
  </si>
  <si>
    <t>確認済み施設</t>
  </si>
  <si>
    <t>潮江小学校, 高知工業高等学校, 四国銀行潮江支店,</t>
  </si>
  <si>
    <t>潮江中学校, 潮江南小学校, 潮江東小学校, アスパルこうち,</t>
  </si>
  <si>
    <t>高知河川国道事務所, マルハン高知桟橋店, 旧高知南中学・高等学校</t>
  </si>
  <si>
    <t>データ出典</t>
  </si>
  <si>
    <t>高知市公式HP・各施設公式HP・WebSearch による調査 (2026-05)</t>
  </si>
  <si>
    <t>収容人数出典</t>
  </si>
  <si>
    <t>高知市防災マップ No.15（令和8年5月）</t>
  </si>
  <si>
    <t>土佐中・高等学校</t>
  </si>
  <si>
    <t>セントラルディーボ桟橋店（立体駐車場）</t>
  </si>
  <si>
    <t>梅ノ辻クリニック</t>
  </si>
  <si>
    <t>ライフ</t>
  </si>
  <si>
    <t>高知河川国道事務所</t>
    <phoneticPr fontId="4"/>
  </si>
  <si>
    <t>第２六泉寺ビル</t>
    <phoneticPr fontId="4"/>
  </si>
  <si>
    <t>新高産業社屋</t>
    <phoneticPr fontId="4"/>
  </si>
  <si>
    <t>マルハン高知桟橋店（立体駐車場）</t>
    <phoneticPr fontId="4"/>
  </si>
  <si>
    <t>高知県トラック会館</t>
    <phoneticPr fontId="4"/>
  </si>
  <si>
    <t>Balcony8南の丸</t>
    <phoneticPr fontId="4"/>
  </si>
  <si>
    <t>ステラ桟橋</t>
    <phoneticPr fontId="4"/>
  </si>
  <si>
    <t>潮江東小学校</t>
    <phoneticPr fontId="4"/>
  </si>
  <si>
    <t>高知市青年センター（アスパルこうち）</t>
    <phoneticPr fontId="4"/>
  </si>
  <si>
    <t>潮江水再生センター（管理棟）</t>
    <phoneticPr fontId="4"/>
  </si>
  <si>
    <t>（株）四電工高知支店</t>
    <phoneticPr fontId="4"/>
  </si>
  <si>
    <t>Nikko高知店（立体駐車場）</t>
    <phoneticPr fontId="4"/>
  </si>
  <si>
    <t>旧高知南中学・高等学校</t>
    <phoneticPr fontId="4"/>
  </si>
  <si>
    <t>有料老人ホームつばさ</t>
    <phoneticPr fontId="4"/>
  </si>
  <si>
    <t>介護老人保健施設 梅壽苑</t>
    <phoneticPr fontId="4"/>
  </si>
  <si>
    <t>潮江高橋病院　北棟</t>
    <phoneticPr fontId="4"/>
  </si>
  <si>
    <t>Hotel Ko's Style</t>
    <phoneticPr fontId="4"/>
  </si>
  <si>
    <t>メゾン・レーヴ潮江</t>
    <phoneticPr fontId="4"/>
  </si>
  <si>
    <t>潮江マンションA</t>
    <phoneticPr fontId="4"/>
  </si>
  <si>
    <t>（株）轟組</t>
    <phoneticPr fontId="4"/>
  </si>
  <si>
    <t>高知港湾合同庁舎</t>
    <phoneticPr fontId="4"/>
  </si>
  <si>
    <t>潮江市民図書館</t>
    <phoneticPr fontId="4"/>
  </si>
  <si>
    <t>トランスポート避難ビル</t>
    <phoneticPr fontId="4"/>
  </si>
  <si>
    <t>潮江第二コミュニティ住宅</t>
    <phoneticPr fontId="4"/>
  </si>
  <si>
    <t>パル・ボナール</t>
    <phoneticPr fontId="4"/>
  </si>
  <si>
    <t>桟橋住宅</t>
    <phoneticPr fontId="4"/>
  </si>
  <si>
    <t>アステールK</t>
    <phoneticPr fontId="4"/>
  </si>
  <si>
    <t>ポートハイム28</t>
    <phoneticPr fontId="4"/>
  </si>
  <si>
    <t>google map</t>
    <phoneticPr fontId="4"/>
  </si>
  <si>
    <t>geocoding.jp</t>
    <phoneticPr fontId="4"/>
  </si>
  <si>
    <t>潮江</t>
  </si>
  <si>
    <t>潮江南</t>
  </si>
  <si>
    <t>潮江1</t>
  </si>
  <si>
    <t>潮江2</t>
  </si>
  <si>
    <t>潮江3</t>
  </si>
  <si>
    <t>潮江4</t>
  </si>
  <si>
    <t>潮江5</t>
  </si>
  <si>
    <t>潮江6</t>
  </si>
  <si>
    <t>潮江7</t>
  </si>
  <si>
    <t>潮江8</t>
  </si>
  <si>
    <t>潮江9</t>
  </si>
  <si>
    <t>潮江10</t>
  </si>
  <si>
    <t>潮江11</t>
  </si>
  <si>
    <t>潮江12</t>
  </si>
  <si>
    <t>潮江13</t>
  </si>
  <si>
    <t>潮江14</t>
  </si>
  <si>
    <t>潮江15</t>
  </si>
  <si>
    <t>潮江南1</t>
  </si>
  <si>
    <t>潮江南2</t>
  </si>
  <si>
    <t>潮江南3</t>
  </si>
  <si>
    <t>潮江南4</t>
  </si>
  <si>
    <t>潮江南5</t>
  </si>
  <si>
    <t>潮江南6</t>
  </si>
  <si>
    <t>潮江南7</t>
  </si>
  <si>
    <t>潮江南8</t>
  </si>
  <si>
    <t>潮江南9</t>
  </si>
  <si>
    <t>潮江南10</t>
  </si>
  <si>
    <t>潮江南11</t>
  </si>
  <si>
    <t>潮江南12</t>
  </si>
  <si>
    <t>潮江南13</t>
  </si>
  <si>
    <t>潮江南14</t>
  </si>
  <si>
    <t>潮江南15</t>
  </si>
  <si>
    <t>潮江南16</t>
  </si>
  <si>
    <t>潮江南17</t>
  </si>
  <si>
    <t>潮江南18</t>
  </si>
  <si>
    <t>潮江南19</t>
  </si>
  <si>
    <t>潮江南20</t>
  </si>
  <si>
    <t>潮江南21</t>
  </si>
  <si>
    <t>潮江南22</t>
  </si>
  <si>
    <t>Area</t>
  </si>
  <si>
    <t>Number</t>
  </si>
  <si>
    <t>Name of Facility</t>
  </si>
  <si>
    <t>Longitude</t>
  </si>
  <si>
    <t>Latitude</t>
  </si>
  <si>
    <t>Real Capacity</t>
  </si>
  <si>
    <t>Source</t>
  </si>
  <si>
    <t>1/10 Capacity (for simulation)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</si>
</sst>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>
    <font>
      <sz val="11"/>
      <color theme="1"/>
      <name val="Calibri"/>
      <family val="2"/>
      <scheme val="minor"/>
    </font>
    <font>
      <b/>
      <sz val="11"/>
      <color rgb="FFFFFFFF"/>
      <name val="Yu Gothic"/>
    </font>
    <font>
      <sz val="10"/>
      <name val="Yu Gothic"/>
    </font>
    <font>
      <b/>
      <sz val="11"/>
      <name val="Calibri"/>
    </font>
    <font>
      <sz val="6"/>
      <name val="Calibri"/>
      <family val="3"/>
      <charset val="128"/>
      <scheme val="minor"/>
    </font>
    <font>
      <sz val="10"/>
      <name val="Yu Gothic"/>
      <family val="2"/>
      <charset val="128"/>
    </font>
    <font>
      <sz val="10"/>
      <color theme="1"/>
      <name val="Yu Gothic"/>
      <family val="2"/>
      <charset val="128"/>
    </font>
    <font>
      <sz val="10"/>
      <color rgb="FF000000"/>
      <name val="Yu Gothic"/>
      <family val="2"/>
      <charset val="128"/>
    </font>
    <font>
      <sz val="11"/>
      <color theme="1"/>
      <name val="Yu Gothic"/>
      <family val="2"/>
    </font>
    <font>
      <sz val="10"/>
      <name val="Yu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6E4F0"/>
      </patternFill>
    </fill>
    <fill>
      <patternFill patternType="solid">
        <fgColor rgb="FFE8F4FB"/>
      </patternFill>
    </fill>
    <fill>
      <patternFill patternType="solid">
        <fgColor theme="0"/>
        <bgColor indexed="64"/>
      </patternFill>
    </fill>
    <fill>
      <patternFill patternType="solid">
        <fgColor rgb="FFD3DFED"/>
        <bgColor indexed="64"/>
      </patternFill>
    </fill>
    <fill>
      <patternFill patternType="solid">
        <fgColor rgb="FFE3F7FD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4" fontId="2" fillId="5" borderId="3" xfId="0" applyNumberFormat="1" applyFont="1" applyFill="1" applyBorder="1" applyAlignment="1">
      <alignment horizontal="right" vertical="center"/>
    </xf>
    <xf numFmtId="0" fontId="7" fillId="6" borderId="2" xfId="0" applyFont="1" applyFill="1" applyBorder="1"/>
    <xf numFmtId="0" fontId="6" fillId="6" borderId="2" xfId="0" applyFont="1" applyFill="1" applyBorder="1"/>
    <xf numFmtId="0" fontId="8" fillId="6" borderId="2" xfId="0" applyFont="1" applyFill="1" applyBorder="1"/>
    <xf numFmtId="0" fontId="8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wrapText="1"/>
    </xf>
    <xf numFmtId="1" fontId="2" fillId="3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 applyAlignment="1">
      <alignment horizontal="right" vertical="center"/>
    </xf>
    <xf numFmtId="1" fontId="2" fillId="6" borderId="4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 applyAlignment="1">
      <alignment horizontal="right" vertical="center"/>
    </xf>
    <xf numFmtId="1" fontId="2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3F7FD"/>
      <color rgb="FFEAF0F6"/>
      <color rgb="FFD9F1FF"/>
      <color rgb="FFD3DFED"/>
      <color rgb="FFCCECFF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5"/>
  <cols>
    <col min="1" max="1" width="14" customWidth="1"/>
    <col min="2" max="2" width="14.08984375" customWidth="1"/>
    <col min="3" max="3" width="30" customWidth="1"/>
    <col min="4" max="5" width="14" customWidth="1"/>
    <col min="6" max="6" width="39.1796875" customWidth="1"/>
    <col min="7" max="7" width="17.7265625" customWidth="1"/>
    <col min="8" max="8" width="13.7265625" customWidth="1"/>
  </cols>
  <sheetData>
    <row r="1" spans="1:8" ht="28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115</v>
      </c>
      <c r="G1" s="1" t="s">
        <v>113</v>
      </c>
      <c r="H1" s="1" t="s">
        <v>114</v>
      </c>
    </row>
    <row r="2" spans="1:8" ht="18" customHeight="1">
      <c r="A2" s="2" t="s">
        <v>0</v>
      </c>
      <c r="B2" s="2">
        <v>1</v>
      </c>
      <c r="C2" s="3" t="s">
        <v>35</v>
      </c>
      <c r="D2" s="4">
        <v>133.54301000000001</v>
      </c>
      <c r="E2" s="4">
        <v>33.553350000000002</v>
      </c>
      <c r="F2" s="33">
        <f>G2/10</f>
        <v>173.6</v>
      </c>
      <c r="G2" s="5">
        <v>1736</v>
      </c>
      <c r="H2" s="18" t="s">
        <v>67</v>
      </c>
    </row>
    <row r="3" spans="1:8" ht="18" customHeight="1">
      <c r="A3" s="2" t="s">
        <v>0</v>
      </c>
      <c r="B3" s="2">
        <v>2</v>
      </c>
      <c r="C3" s="3" t="s">
        <v>1</v>
      </c>
      <c r="D3" s="4">
        <v>133.54109</v>
      </c>
      <c r="E3" s="4">
        <v>33.553789999999999</v>
      </c>
      <c r="F3" s="33">
        <f t="shared" ref="F3:F66" si="0">G3/10</f>
        <v>192.1</v>
      </c>
      <c r="G3" s="5">
        <v>1921</v>
      </c>
      <c r="H3" s="18" t="s">
        <v>67</v>
      </c>
    </row>
    <row r="4" spans="1:8" ht="18" customHeight="1">
      <c r="A4" s="2" t="s">
        <v>0</v>
      </c>
      <c r="B4" s="2">
        <v>3</v>
      </c>
      <c r="C4" s="3" t="s">
        <v>2</v>
      </c>
      <c r="D4" s="4">
        <v>133.54781</v>
      </c>
      <c r="E4" s="4">
        <v>33.545650000000002</v>
      </c>
      <c r="F4" s="33">
        <f t="shared" si="0"/>
        <v>120.4</v>
      </c>
      <c r="G4" s="5">
        <v>1204</v>
      </c>
      <c r="H4" s="18" t="s">
        <v>67</v>
      </c>
    </row>
    <row r="5" spans="1:8" ht="18" customHeight="1">
      <c r="A5" s="2" t="s">
        <v>0</v>
      </c>
      <c r="B5" s="2">
        <v>4</v>
      </c>
      <c r="C5" s="3" t="s">
        <v>3</v>
      </c>
      <c r="D5" s="4">
        <v>133.54472000000001</v>
      </c>
      <c r="E5" s="4">
        <v>33.546120000000002</v>
      </c>
      <c r="F5" s="33">
        <f t="shared" si="0"/>
        <v>128</v>
      </c>
      <c r="G5" s="5">
        <v>1280</v>
      </c>
      <c r="H5" s="18" t="s">
        <v>67</v>
      </c>
    </row>
    <row r="6" spans="1:8" ht="18" customHeight="1">
      <c r="A6" s="2" t="s">
        <v>0</v>
      </c>
      <c r="B6" s="2">
        <v>5</v>
      </c>
      <c r="C6" s="3" t="s">
        <v>4</v>
      </c>
      <c r="D6" s="4">
        <v>133.54015000000001</v>
      </c>
      <c r="E6" s="4">
        <v>33.54569</v>
      </c>
      <c r="F6" s="33">
        <f t="shared" si="0"/>
        <v>120</v>
      </c>
      <c r="G6" s="5">
        <v>1200</v>
      </c>
      <c r="H6" s="18" t="s">
        <v>67</v>
      </c>
    </row>
    <row r="7" spans="1:8" ht="18" customHeight="1">
      <c r="A7" s="2" t="s">
        <v>0</v>
      </c>
      <c r="B7" s="2">
        <v>6</v>
      </c>
      <c r="C7" s="3" t="s">
        <v>5</v>
      </c>
      <c r="D7" s="4">
        <v>133.54519999999999</v>
      </c>
      <c r="E7" s="4">
        <v>33.544460000000001</v>
      </c>
      <c r="F7" s="33">
        <f t="shared" si="0"/>
        <v>4.5</v>
      </c>
      <c r="G7" s="5">
        <v>45</v>
      </c>
      <c r="H7" s="18" t="s">
        <v>67</v>
      </c>
    </row>
    <row r="8" spans="1:8" ht="18" customHeight="1">
      <c r="A8" s="2" t="s">
        <v>0</v>
      </c>
      <c r="B8" s="2">
        <v>7</v>
      </c>
      <c r="C8" s="17" t="s">
        <v>62</v>
      </c>
      <c r="D8" s="4">
        <v>133.54599899999999</v>
      </c>
      <c r="E8" s="4">
        <v>33.546281999999998</v>
      </c>
      <c r="F8" s="33">
        <f t="shared" si="0"/>
        <v>70.400000000000006</v>
      </c>
      <c r="G8" s="5">
        <v>704</v>
      </c>
      <c r="H8" s="18" t="s">
        <v>68</v>
      </c>
    </row>
    <row r="9" spans="1:8" ht="18" customHeight="1">
      <c r="A9" s="2" t="s">
        <v>0</v>
      </c>
      <c r="B9" s="2">
        <v>8</v>
      </c>
      <c r="C9" s="3" t="s">
        <v>6</v>
      </c>
      <c r="D9" s="4">
        <v>133.546628</v>
      </c>
      <c r="E9" s="4">
        <v>33.546675999999998</v>
      </c>
      <c r="F9" s="33">
        <f t="shared" si="0"/>
        <v>11.6</v>
      </c>
      <c r="G9" s="5">
        <v>116</v>
      </c>
      <c r="H9" s="18" t="s">
        <v>68</v>
      </c>
    </row>
    <row r="10" spans="1:8" ht="18" customHeight="1">
      <c r="A10" s="2" t="s">
        <v>0</v>
      </c>
      <c r="B10" s="2">
        <v>9</v>
      </c>
      <c r="C10" s="3" t="s">
        <v>7</v>
      </c>
      <c r="D10" s="4">
        <v>133.54879</v>
      </c>
      <c r="E10" s="4">
        <v>33.549419999999998</v>
      </c>
      <c r="F10" s="33">
        <f t="shared" si="0"/>
        <v>221.3</v>
      </c>
      <c r="G10" s="5">
        <v>2213</v>
      </c>
      <c r="H10" s="18" t="s">
        <v>67</v>
      </c>
    </row>
    <row r="11" spans="1:8" ht="18" customHeight="1">
      <c r="A11" s="2" t="s">
        <v>0</v>
      </c>
      <c r="B11" s="2">
        <v>10</v>
      </c>
      <c r="C11" s="3" t="s">
        <v>8</v>
      </c>
      <c r="D11" s="4">
        <v>133.54154</v>
      </c>
      <c r="E11" s="4">
        <v>33.557729999999999</v>
      </c>
      <c r="F11" s="33">
        <f t="shared" si="0"/>
        <v>46.8</v>
      </c>
      <c r="G11" s="5">
        <v>468</v>
      </c>
      <c r="H11" s="18" t="s">
        <v>67</v>
      </c>
    </row>
    <row r="12" spans="1:8" ht="18" customHeight="1">
      <c r="A12" s="2" t="s">
        <v>0</v>
      </c>
      <c r="B12" s="2">
        <v>11</v>
      </c>
      <c r="C12" s="3" t="s">
        <v>9</v>
      </c>
      <c r="D12" s="4">
        <v>133.54109600000001</v>
      </c>
      <c r="E12" s="4">
        <v>33.554164999999998</v>
      </c>
      <c r="F12" s="33">
        <f t="shared" si="0"/>
        <v>3.6</v>
      </c>
      <c r="G12" s="5">
        <v>36</v>
      </c>
      <c r="H12" s="18" t="s">
        <v>68</v>
      </c>
    </row>
    <row r="13" spans="1:8" ht="18" customHeight="1">
      <c r="A13" s="2" t="s">
        <v>0</v>
      </c>
      <c r="B13" s="2">
        <v>12</v>
      </c>
      <c r="C13" s="3" t="s">
        <v>36</v>
      </c>
      <c r="D13" s="4">
        <v>133.54929000000001</v>
      </c>
      <c r="E13" s="4">
        <v>33.545839999999998</v>
      </c>
      <c r="F13" s="33">
        <f t="shared" si="0"/>
        <v>207.5</v>
      </c>
      <c r="G13" s="5">
        <v>2075</v>
      </c>
      <c r="H13" s="18" t="s">
        <v>67</v>
      </c>
    </row>
    <row r="14" spans="1:8" ht="18" customHeight="1">
      <c r="A14" s="2" t="s">
        <v>0</v>
      </c>
      <c r="B14" s="2">
        <v>13</v>
      </c>
      <c r="C14" s="3" t="s">
        <v>10</v>
      </c>
      <c r="D14" s="4">
        <v>133.54247000000001</v>
      </c>
      <c r="E14" s="4">
        <v>33.550220000000003</v>
      </c>
      <c r="F14" s="33">
        <f t="shared" si="0"/>
        <v>142.19999999999999</v>
      </c>
      <c r="G14" s="5">
        <v>1422</v>
      </c>
      <c r="H14" s="18" t="s">
        <v>67</v>
      </c>
    </row>
    <row r="15" spans="1:8" ht="18" customHeight="1">
      <c r="A15" s="2" t="s">
        <v>0</v>
      </c>
      <c r="B15" s="2">
        <v>14</v>
      </c>
      <c r="C15" s="3" t="s">
        <v>11</v>
      </c>
      <c r="D15" s="4">
        <v>133.54109</v>
      </c>
      <c r="E15" s="4">
        <v>33.555689999999998</v>
      </c>
      <c r="F15" s="33">
        <f t="shared" si="0"/>
        <v>6.6</v>
      </c>
      <c r="G15" s="5">
        <v>66</v>
      </c>
      <c r="H15" s="18" t="s">
        <v>67</v>
      </c>
    </row>
    <row r="16" spans="1:8" ht="18" customHeight="1">
      <c r="A16" s="2" t="s">
        <v>0</v>
      </c>
      <c r="B16" s="2">
        <v>15</v>
      </c>
      <c r="C16" s="3" t="s">
        <v>12</v>
      </c>
      <c r="D16" s="4">
        <v>133.538444</v>
      </c>
      <c r="E16" s="4">
        <v>33.553942999999997</v>
      </c>
      <c r="F16" s="33">
        <f t="shared" si="0"/>
        <v>10.4</v>
      </c>
      <c r="G16" s="5">
        <v>104</v>
      </c>
      <c r="H16" s="18" t="s">
        <v>68</v>
      </c>
    </row>
    <row r="17" spans="1:8" ht="18" customHeight="1">
      <c r="A17" s="2" t="s">
        <v>0</v>
      </c>
      <c r="B17" s="2">
        <v>16</v>
      </c>
      <c r="C17" s="17" t="s">
        <v>63</v>
      </c>
      <c r="D17" s="4">
        <v>133.54320799999999</v>
      </c>
      <c r="E17" s="4">
        <v>33.553359</v>
      </c>
      <c r="F17" s="33">
        <f t="shared" si="0"/>
        <v>1.8</v>
      </c>
      <c r="G17" s="5">
        <v>18</v>
      </c>
      <c r="H17" s="18" t="s">
        <v>68</v>
      </c>
    </row>
    <row r="18" spans="1:8" ht="18" customHeight="1">
      <c r="A18" s="2" t="s">
        <v>0</v>
      </c>
      <c r="B18" s="2">
        <v>17</v>
      </c>
      <c r="C18" s="3" t="s">
        <v>13</v>
      </c>
      <c r="D18" s="4">
        <v>133.545469</v>
      </c>
      <c r="E18" s="4">
        <v>33.550355000000003</v>
      </c>
      <c r="F18" s="33">
        <f t="shared" si="0"/>
        <v>4.7</v>
      </c>
      <c r="G18" s="5">
        <v>47</v>
      </c>
      <c r="H18" s="18" t="s">
        <v>68</v>
      </c>
    </row>
    <row r="19" spans="1:8" ht="18" customHeight="1">
      <c r="A19" s="2" t="s">
        <v>0</v>
      </c>
      <c r="B19" s="2">
        <v>18</v>
      </c>
      <c r="C19" s="3" t="s">
        <v>14</v>
      </c>
      <c r="D19" s="4">
        <v>133.544681</v>
      </c>
      <c r="E19" s="4">
        <v>33.551487999999999</v>
      </c>
      <c r="F19" s="33">
        <f t="shared" si="0"/>
        <v>15</v>
      </c>
      <c r="G19" s="5">
        <v>150</v>
      </c>
      <c r="H19" s="18" t="s">
        <v>68</v>
      </c>
    </row>
    <row r="20" spans="1:8" ht="18" customHeight="1">
      <c r="A20" s="2" t="s">
        <v>0</v>
      </c>
      <c r="B20" s="2">
        <v>19</v>
      </c>
      <c r="C20" s="3" t="s">
        <v>15</v>
      </c>
      <c r="D20" s="4">
        <v>133.52719999999999</v>
      </c>
      <c r="E20" s="4">
        <v>33.56</v>
      </c>
      <c r="F20" s="33">
        <f t="shared" si="0"/>
        <v>31.9</v>
      </c>
      <c r="G20" s="5">
        <v>319</v>
      </c>
      <c r="H20" s="18" t="s">
        <v>67</v>
      </c>
    </row>
    <row r="21" spans="1:8" ht="18" customHeight="1">
      <c r="A21" s="2" t="s">
        <v>0</v>
      </c>
      <c r="B21" s="2">
        <v>20</v>
      </c>
      <c r="C21" s="3" t="s">
        <v>37</v>
      </c>
      <c r="D21" s="4">
        <v>133.54366999999999</v>
      </c>
      <c r="E21" s="4">
        <v>33.554169999999999</v>
      </c>
      <c r="F21" s="33">
        <f t="shared" si="0"/>
        <v>22.8</v>
      </c>
      <c r="G21" s="5">
        <v>228</v>
      </c>
      <c r="H21" s="18" t="s">
        <v>67</v>
      </c>
    </row>
    <row r="22" spans="1:8" ht="18" customHeight="1">
      <c r="A22" s="2" t="s">
        <v>0</v>
      </c>
      <c r="B22" s="2">
        <v>21</v>
      </c>
      <c r="C22" s="3" t="s">
        <v>16</v>
      </c>
      <c r="D22" s="4">
        <v>133.54732999999999</v>
      </c>
      <c r="E22" s="4">
        <v>33.547840000000001</v>
      </c>
      <c r="F22" s="33">
        <f t="shared" si="0"/>
        <v>16</v>
      </c>
      <c r="G22" s="5">
        <v>160</v>
      </c>
      <c r="H22" s="18" t="s">
        <v>67</v>
      </c>
    </row>
    <row r="23" spans="1:8" ht="18" customHeight="1">
      <c r="A23" s="2" t="s">
        <v>0</v>
      </c>
      <c r="B23" s="2">
        <v>22</v>
      </c>
      <c r="C23" s="17" t="s">
        <v>64</v>
      </c>
      <c r="D23" s="4">
        <v>133.545298</v>
      </c>
      <c r="E23" s="4">
        <v>33.550806000000001</v>
      </c>
      <c r="F23" s="33">
        <f t="shared" si="0"/>
        <v>24.9</v>
      </c>
      <c r="G23" s="5">
        <v>249</v>
      </c>
      <c r="H23" s="18" t="s">
        <v>68</v>
      </c>
    </row>
    <row r="24" spans="1:8" ht="18" customHeight="1">
      <c r="A24" s="2" t="s">
        <v>0</v>
      </c>
      <c r="B24" s="2">
        <v>23</v>
      </c>
      <c r="C24" s="3" t="s">
        <v>38</v>
      </c>
      <c r="D24" s="4">
        <v>133.54416399999999</v>
      </c>
      <c r="E24" s="4">
        <v>33.552743</v>
      </c>
      <c r="F24" s="33">
        <f t="shared" si="0"/>
        <v>8.4</v>
      </c>
      <c r="G24" s="5">
        <v>84</v>
      </c>
      <c r="H24" s="18" t="s">
        <v>68</v>
      </c>
    </row>
    <row r="25" spans="1:8" ht="18" customHeight="1">
      <c r="A25" s="6" t="s">
        <v>17</v>
      </c>
      <c r="B25" s="6">
        <v>1</v>
      </c>
      <c r="C25" s="7" t="s">
        <v>18</v>
      </c>
      <c r="D25" s="8">
        <v>133.53928999999999</v>
      </c>
      <c r="E25" s="8">
        <v>33.54177</v>
      </c>
      <c r="F25" s="36">
        <f t="shared" si="0"/>
        <v>169.9</v>
      </c>
      <c r="G25" s="9">
        <v>1699</v>
      </c>
      <c r="H25" s="19" t="s">
        <v>67</v>
      </c>
    </row>
    <row r="26" spans="1:8" ht="18" customHeight="1">
      <c r="A26" s="6" t="s">
        <v>17</v>
      </c>
      <c r="B26" s="6">
        <v>2</v>
      </c>
      <c r="C26" s="15" t="s">
        <v>39</v>
      </c>
      <c r="D26" s="8">
        <v>133.54514399999999</v>
      </c>
      <c r="E26" s="8">
        <v>33.536926999999999</v>
      </c>
      <c r="F26" s="36">
        <f t="shared" si="0"/>
        <v>5</v>
      </c>
      <c r="G26" s="9">
        <v>50</v>
      </c>
      <c r="H26" s="18" t="s">
        <v>68</v>
      </c>
    </row>
    <row r="27" spans="1:8" ht="18" customHeight="1">
      <c r="A27" s="6" t="s">
        <v>17</v>
      </c>
      <c r="B27" s="6">
        <v>3</v>
      </c>
      <c r="C27" s="15" t="s">
        <v>40</v>
      </c>
      <c r="D27" s="8">
        <v>133.541009</v>
      </c>
      <c r="E27" s="8">
        <v>33.539188000000003</v>
      </c>
      <c r="F27" s="36">
        <f t="shared" si="0"/>
        <v>4.5</v>
      </c>
      <c r="G27" s="9">
        <v>45</v>
      </c>
      <c r="H27" s="18" t="s">
        <v>68</v>
      </c>
    </row>
    <row r="28" spans="1:8" ht="18" customHeight="1">
      <c r="A28" s="6" t="s">
        <v>17</v>
      </c>
      <c r="B28" s="6">
        <v>4</v>
      </c>
      <c r="C28" s="15" t="s">
        <v>41</v>
      </c>
      <c r="D28" s="8">
        <v>133.54820000000001</v>
      </c>
      <c r="E28" s="8">
        <v>33.539279999999998</v>
      </c>
      <c r="F28" s="36">
        <f t="shared" si="0"/>
        <v>48.5</v>
      </c>
      <c r="G28" s="9">
        <v>485</v>
      </c>
      <c r="H28" s="19" t="s">
        <v>67</v>
      </c>
    </row>
    <row r="29" spans="1:8" ht="18" customHeight="1">
      <c r="A29" s="6" t="s">
        <v>17</v>
      </c>
      <c r="B29" s="6">
        <v>5</v>
      </c>
      <c r="C29" s="15" t="s">
        <v>42</v>
      </c>
      <c r="D29" s="8">
        <v>133.54777999999999</v>
      </c>
      <c r="E29" s="8">
        <v>33.547780000000003</v>
      </c>
      <c r="F29" s="36">
        <f t="shared" si="0"/>
        <v>346.9</v>
      </c>
      <c r="G29" s="9">
        <v>3469</v>
      </c>
      <c r="H29" s="19" t="s">
        <v>67</v>
      </c>
    </row>
    <row r="30" spans="1:8" ht="18" customHeight="1">
      <c r="A30" s="6" t="s">
        <v>17</v>
      </c>
      <c r="B30" s="6">
        <v>6</v>
      </c>
      <c r="C30" s="15" t="s">
        <v>43</v>
      </c>
      <c r="D30" s="8">
        <v>133.54844900000001</v>
      </c>
      <c r="E30" s="8">
        <v>33.542293999999998</v>
      </c>
      <c r="F30" s="36">
        <f t="shared" si="0"/>
        <v>7.8</v>
      </c>
      <c r="G30" s="9">
        <v>78</v>
      </c>
      <c r="H30" s="18" t="s">
        <v>68</v>
      </c>
    </row>
    <row r="31" spans="1:8" ht="18" customHeight="1">
      <c r="A31" s="6" t="s">
        <v>17</v>
      </c>
      <c r="B31" s="6">
        <v>7</v>
      </c>
      <c r="C31" s="15" t="s">
        <v>44</v>
      </c>
      <c r="D31" s="8">
        <v>133.54701600000001</v>
      </c>
      <c r="E31" s="8">
        <v>33.542274999999997</v>
      </c>
      <c r="F31" s="36">
        <f t="shared" si="0"/>
        <v>10</v>
      </c>
      <c r="G31" s="9">
        <v>100</v>
      </c>
      <c r="H31" s="18" t="s">
        <v>68</v>
      </c>
    </row>
    <row r="32" spans="1:8" ht="18" customHeight="1">
      <c r="A32" s="10" t="s">
        <v>19</v>
      </c>
      <c r="B32" s="10">
        <v>1</v>
      </c>
      <c r="C32" s="16" t="s">
        <v>45</v>
      </c>
      <c r="D32" s="12">
        <v>133.550862</v>
      </c>
      <c r="E32" s="12">
        <v>33.539126000000003</v>
      </c>
      <c r="F32" s="37">
        <f t="shared" si="0"/>
        <v>30.2</v>
      </c>
      <c r="G32" s="13">
        <v>302</v>
      </c>
      <c r="H32" s="18" t="s">
        <v>68</v>
      </c>
    </row>
    <row r="33" spans="1:8" ht="18" customHeight="1">
      <c r="A33" s="10" t="s">
        <v>19</v>
      </c>
      <c r="B33" s="10">
        <v>2</v>
      </c>
      <c r="C33" s="16" t="s">
        <v>46</v>
      </c>
      <c r="D33" s="12">
        <v>133.55109999999999</v>
      </c>
      <c r="E33" s="12">
        <v>33.551369999999999</v>
      </c>
      <c r="F33" s="37">
        <f t="shared" si="0"/>
        <v>92.1</v>
      </c>
      <c r="G33" s="13">
        <v>921</v>
      </c>
      <c r="H33" s="20" t="s">
        <v>67</v>
      </c>
    </row>
    <row r="34" spans="1:8" ht="18" customHeight="1">
      <c r="A34" s="10" t="s">
        <v>19</v>
      </c>
      <c r="B34" s="10">
        <v>3</v>
      </c>
      <c r="C34" s="16" t="s">
        <v>47</v>
      </c>
      <c r="D34" s="12">
        <v>133.54671999999999</v>
      </c>
      <c r="E34" s="12">
        <v>33.550460000000001</v>
      </c>
      <c r="F34" s="37">
        <f t="shared" si="0"/>
        <v>164.5</v>
      </c>
      <c r="G34" s="13">
        <v>1645</v>
      </c>
      <c r="H34" s="20" t="s">
        <v>67</v>
      </c>
    </row>
    <row r="35" spans="1:8" ht="18" customHeight="1">
      <c r="A35" s="10" t="s">
        <v>19</v>
      </c>
      <c r="B35" s="10">
        <v>4</v>
      </c>
      <c r="C35" s="16" t="s">
        <v>48</v>
      </c>
      <c r="D35" s="12">
        <v>133.55723</v>
      </c>
      <c r="E35" s="12">
        <v>33.54739</v>
      </c>
      <c r="F35" s="37">
        <f t="shared" si="0"/>
        <v>83</v>
      </c>
      <c r="G35" s="13">
        <v>830</v>
      </c>
      <c r="H35" s="20" t="s">
        <v>67</v>
      </c>
    </row>
    <row r="36" spans="1:8" ht="18" customHeight="1">
      <c r="A36" s="10" t="s">
        <v>19</v>
      </c>
      <c r="B36" s="10">
        <v>5</v>
      </c>
      <c r="C36" s="16" t="s">
        <v>49</v>
      </c>
      <c r="D36" s="12">
        <v>133.54751999999999</v>
      </c>
      <c r="E36" s="12">
        <v>33.54898</v>
      </c>
      <c r="F36" s="37">
        <f t="shared" si="0"/>
        <v>33.1</v>
      </c>
      <c r="G36" s="13">
        <v>331</v>
      </c>
      <c r="H36" s="20" t="s">
        <v>67</v>
      </c>
    </row>
    <row r="37" spans="1:8" ht="18" customHeight="1">
      <c r="A37" s="10" t="s">
        <v>19</v>
      </c>
      <c r="B37" s="10">
        <v>6</v>
      </c>
      <c r="C37" s="16" t="s">
        <v>50</v>
      </c>
      <c r="D37" s="12">
        <v>133.54533000000001</v>
      </c>
      <c r="E37" s="12">
        <v>33.552190000000003</v>
      </c>
      <c r="F37" s="37">
        <f t="shared" si="0"/>
        <v>283.39999999999998</v>
      </c>
      <c r="G37" s="13">
        <v>2834</v>
      </c>
      <c r="H37" s="20" t="s">
        <v>67</v>
      </c>
    </row>
    <row r="38" spans="1:8" ht="18" customHeight="1">
      <c r="A38" s="10" t="s">
        <v>19</v>
      </c>
      <c r="B38" s="10">
        <v>7</v>
      </c>
      <c r="C38" s="16" t="s">
        <v>65</v>
      </c>
      <c r="D38" s="12">
        <v>133.54658800000001</v>
      </c>
      <c r="E38" s="12">
        <v>33.550930000000001</v>
      </c>
      <c r="F38" s="37">
        <f t="shared" si="0"/>
        <v>30</v>
      </c>
      <c r="G38" s="13">
        <v>300</v>
      </c>
      <c r="H38" s="18" t="s">
        <v>68</v>
      </c>
    </row>
    <row r="39" spans="1:8" ht="18" customHeight="1">
      <c r="A39" s="10" t="s">
        <v>19</v>
      </c>
      <c r="B39" s="10">
        <v>8</v>
      </c>
      <c r="C39" s="16" t="s">
        <v>51</v>
      </c>
      <c r="D39" s="12">
        <v>133.55450999999999</v>
      </c>
      <c r="E39" s="12">
        <v>33.542110000000001</v>
      </c>
      <c r="F39" s="37">
        <f t="shared" si="0"/>
        <v>236.6</v>
      </c>
      <c r="G39" s="13">
        <v>2366</v>
      </c>
      <c r="H39" s="20" t="s">
        <v>67</v>
      </c>
    </row>
    <row r="40" spans="1:8" ht="18" customHeight="1">
      <c r="A40" s="10" t="s">
        <v>19</v>
      </c>
      <c r="B40" s="10">
        <v>9</v>
      </c>
      <c r="C40" s="11" t="s">
        <v>20</v>
      </c>
      <c r="D40" s="12">
        <v>133.543533</v>
      </c>
      <c r="E40" s="12">
        <v>33.554820999999997</v>
      </c>
      <c r="F40" s="37">
        <f t="shared" si="0"/>
        <v>50.6</v>
      </c>
      <c r="G40" s="13">
        <v>506</v>
      </c>
      <c r="H40" s="18" t="s">
        <v>68</v>
      </c>
    </row>
    <row r="41" spans="1:8" ht="18" customHeight="1">
      <c r="A41" s="10" t="s">
        <v>19</v>
      </c>
      <c r="B41" s="10">
        <v>10</v>
      </c>
      <c r="C41" s="16" t="s">
        <v>52</v>
      </c>
      <c r="D41" s="12">
        <v>133.54601</v>
      </c>
      <c r="E41" s="12">
        <v>33.551450000000003</v>
      </c>
      <c r="F41" s="37">
        <f t="shared" si="0"/>
        <v>29.4</v>
      </c>
      <c r="G41" s="13">
        <v>294</v>
      </c>
      <c r="H41" s="20" t="s">
        <v>67</v>
      </c>
    </row>
    <row r="42" spans="1:8" ht="18" customHeight="1">
      <c r="A42" s="10" t="s">
        <v>19</v>
      </c>
      <c r="B42" s="10">
        <v>11</v>
      </c>
      <c r="C42" s="16" t="s">
        <v>53</v>
      </c>
      <c r="D42" s="12">
        <v>133.54451</v>
      </c>
      <c r="E42" s="12">
        <v>33.554490000000001</v>
      </c>
      <c r="F42" s="37">
        <f t="shared" si="0"/>
        <v>60.4</v>
      </c>
      <c r="G42" s="13">
        <v>604</v>
      </c>
      <c r="H42" s="20" t="s">
        <v>67</v>
      </c>
    </row>
    <row r="43" spans="1:8" ht="18" customHeight="1">
      <c r="A43" s="10" t="s">
        <v>19</v>
      </c>
      <c r="B43" s="10">
        <v>12</v>
      </c>
      <c r="C43" s="16" t="s">
        <v>54</v>
      </c>
      <c r="D43" s="12">
        <v>133.54461000000001</v>
      </c>
      <c r="E43" s="12">
        <v>33.554409999999997</v>
      </c>
      <c r="F43" s="37">
        <f t="shared" si="0"/>
        <v>7.3</v>
      </c>
      <c r="G43" s="13">
        <v>73</v>
      </c>
      <c r="H43" s="20" t="s">
        <v>67</v>
      </c>
    </row>
    <row r="44" spans="1:8" ht="18" customHeight="1">
      <c r="A44" s="10" t="s">
        <v>19</v>
      </c>
      <c r="B44" s="10">
        <v>13</v>
      </c>
      <c r="C44" s="16" t="s">
        <v>55</v>
      </c>
      <c r="D44" s="12">
        <v>133.54452000000001</v>
      </c>
      <c r="E44" s="12">
        <v>33.55491</v>
      </c>
      <c r="F44" s="37">
        <f t="shared" si="0"/>
        <v>19.100000000000001</v>
      </c>
      <c r="G44" s="13">
        <v>191</v>
      </c>
      <c r="H44" s="20" t="s">
        <v>67</v>
      </c>
    </row>
    <row r="45" spans="1:8" ht="18" customHeight="1">
      <c r="A45" s="10" t="s">
        <v>19</v>
      </c>
      <c r="B45" s="10">
        <v>14</v>
      </c>
      <c r="C45" s="16" t="s">
        <v>56</v>
      </c>
      <c r="D45" s="12">
        <v>133.54519199999999</v>
      </c>
      <c r="E45" s="12">
        <v>33.553604</v>
      </c>
      <c r="F45" s="37">
        <f t="shared" si="0"/>
        <v>3.3</v>
      </c>
      <c r="G45" s="13">
        <v>33</v>
      </c>
      <c r="H45" s="18" t="s">
        <v>68</v>
      </c>
    </row>
    <row r="46" spans="1:8" ht="18" customHeight="1">
      <c r="A46" s="10" t="s">
        <v>19</v>
      </c>
      <c r="B46" s="10">
        <v>15</v>
      </c>
      <c r="C46" s="16" t="s">
        <v>57</v>
      </c>
      <c r="D46" s="12">
        <v>133.54567900000001</v>
      </c>
      <c r="E46" s="12">
        <v>33.552926999999997</v>
      </c>
      <c r="F46" s="37">
        <f t="shared" si="0"/>
        <v>53.1</v>
      </c>
      <c r="G46" s="13">
        <v>531</v>
      </c>
      <c r="H46" s="18" t="s">
        <v>68</v>
      </c>
    </row>
    <row r="47" spans="1:8" ht="18" customHeight="1">
      <c r="A47" s="10" t="s">
        <v>19</v>
      </c>
      <c r="B47" s="10">
        <v>16</v>
      </c>
      <c r="C47" s="16" t="s">
        <v>66</v>
      </c>
      <c r="D47" s="12">
        <v>133.55130800000001</v>
      </c>
      <c r="E47" s="12">
        <v>33.539982000000002</v>
      </c>
      <c r="F47" s="37">
        <f t="shared" si="0"/>
        <v>16.399999999999999</v>
      </c>
      <c r="G47" s="13">
        <v>164</v>
      </c>
      <c r="H47" s="18" t="s">
        <v>68</v>
      </c>
    </row>
    <row r="48" spans="1:8" ht="18" customHeight="1">
      <c r="A48" s="10" t="s">
        <v>19</v>
      </c>
      <c r="B48" s="10">
        <v>17</v>
      </c>
      <c r="C48" s="16" t="s">
        <v>58</v>
      </c>
      <c r="D48" s="12">
        <v>133.55474000000001</v>
      </c>
      <c r="E48" s="12">
        <v>33.546970000000002</v>
      </c>
      <c r="F48" s="37">
        <f t="shared" si="0"/>
        <v>59.9</v>
      </c>
      <c r="G48" s="13">
        <v>599</v>
      </c>
      <c r="H48" s="20" t="s">
        <v>67</v>
      </c>
    </row>
    <row r="49" spans="1:8" ht="18" customHeight="1">
      <c r="A49" s="10" t="s">
        <v>19</v>
      </c>
      <c r="B49" s="10">
        <v>18</v>
      </c>
      <c r="C49" s="16" t="s">
        <v>59</v>
      </c>
      <c r="D49" s="12">
        <v>133.55232000000001</v>
      </c>
      <c r="E49" s="12">
        <v>33.539900000000003</v>
      </c>
      <c r="F49" s="37">
        <f t="shared" si="0"/>
        <v>12.5</v>
      </c>
      <c r="G49" s="13">
        <v>125</v>
      </c>
      <c r="H49" s="20" t="s">
        <v>67</v>
      </c>
    </row>
    <row r="50" spans="1:8" ht="18" customHeight="1">
      <c r="A50" s="10" t="s">
        <v>19</v>
      </c>
      <c r="B50" s="10">
        <v>19</v>
      </c>
      <c r="C50" s="16" t="s">
        <v>60</v>
      </c>
      <c r="D50" s="12">
        <v>133.54665</v>
      </c>
      <c r="E50" s="12">
        <v>33.550620000000002</v>
      </c>
      <c r="F50" s="37">
        <f t="shared" si="0"/>
        <v>42.4</v>
      </c>
      <c r="G50" s="13">
        <v>424</v>
      </c>
      <c r="H50" s="20" t="s">
        <v>67</v>
      </c>
    </row>
    <row r="51" spans="1:8" ht="18" customHeight="1">
      <c r="A51" s="21" t="s">
        <v>19</v>
      </c>
      <c r="B51" s="21">
        <v>20</v>
      </c>
      <c r="C51" s="25" t="s">
        <v>61</v>
      </c>
      <c r="D51" s="27">
        <v>133.553021</v>
      </c>
      <c r="E51" s="27">
        <v>33.542374000000002</v>
      </c>
      <c r="F51" s="37">
        <f t="shared" si="0"/>
        <v>12.6</v>
      </c>
      <c r="G51" s="23">
        <v>126</v>
      </c>
      <c r="H51" s="18" t="s">
        <v>68</v>
      </c>
    </row>
    <row r="52" spans="1:8" ht="16.5">
      <c r="A52" s="22" t="s">
        <v>69</v>
      </c>
      <c r="B52" s="22">
        <v>1</v>
      </c>
      <c r="C52" s="26" t="s">
        <v>71</v>
      </c>
      <c r="D52" s="28">
        <v>133.53617299999999</v>
      </c>
      <c r="E52" s="29">
        <v>33.552898999999996</v>
      </c>
      <c r="F52" s="34">
        <f t="shared" si="0"/>
        <v>1000</v>
      </c>
      <c r="G52" s="24">
        <v>10000</v>
      </c>
    </row>
    <row r="53" spans="1:8" ht="18">
      <c r="A53" s="22" t="s">
        <v>69</v>
      </c>
      <c r="B53" s="22">
        <v>2</v>
      </c>
      <c r="C53" s="26" t="s">
        <v>72</v>
      </c>
      <c r="D53" s="30">
        <v>133.53828799999999</v>
      </c>
      <c r="E53" s="30">
        <v>33.552962999999998</v>
      </c>
      <c r="F53" s="34">
        <f t="shared" si="0"/>
        <v>1000</v>
      </c>
      <c r="G53" s="24">
        <v>10000</v>
      </c>
    </row>
    <row r="54" spans="1:8" ht="18">
      <c r="A54" s="22" t="s">
        <v>69</v>
      </c>
      <c r="B54" s="22">
        <v>3</v>
      </c>
      <c r="C54" s="26" t="s">
        <v>73</v>
      </c>
      <c r="D54" s="30">
        <v>133.54091399999999</v>
      </c>
      <c r="E54" s="30">
        <v>33.551845999999998</v>
      </c>
      <c r="F54" s="34">
        <f t="shared" si="0"/>
        <v>1000</v>
      </c>
      <c r="G54" s="24">
        <v>10000</v>
      </c>
    </row>
    <row r="55" spans="1:8" ht="18">
      <c r="A55" s="22" t="s">
        <v>69</v>
      </c>
      <c r="B55" s="22">
        <v>4</v>
      </c>
      <c r="C55" s="26" t="s">
        <v>74</v>
      </c>
      <c r="D55" s="30">
        <v>133.54121499999999</v>
      </c>
      <c r="E55" s="30">
        <v>33.551758</v>
      </c>
      <c r="F55" s="34">
        <f t="shared" si="0"/>
        <v>1000</v>
      </c>
      <c r="G55" s="24">
        <v>10000</v>
      </c>
    </row>
    <row r="56" spans="1:8" ht="18">
      <c r="A56" s="22" t="s">
        <v>69</v>
      </c>
      <c r="B56" s="22">
        <v>5</v>
      </c>
      <c r="C56" s="26" t="s">
        <v>75</v>
      </c>
      <c r="D56" s="30">
        <v>133.54083600000001</v>
      </c>
      <c r="E56" s="30">
        <v>33.550283</v>
      </c>
      <c r="F56" s="34">
        <f t="shared" si="0"/>
        <v>1000</v>
      </c>
      <c r="G56" s="24">
        <v>10000</v>
      </c>
    </row>
    <row r="57" spans="1:8" ht="18">
      <c r="A57" s="22" t="s">
        <v>69</v>
      </c>
      <c r="B57" s="22">
        <v>6</v>
      </c>
      <c r="C57" s="26" t="s">
        <v>76</v>
      </c>
      <c r="D57" s="30">
        <v>133.54035200000001</v>
      </c>
      <c r="E57" s="30">
        <v>33.549782</v>
      </c>
      <c r="F57" s="34">
        <f t="shared" si="0"/>
        <v>1000</v>
      </c>
      <c r="G57" s="24">
        <v>10000</v>
      </c>
    </row>
    <row r="58" spans="1:8" ht="18">
      <c r="A58" s="22" t="s">
        <v>69</v>
      </c>
      <c r="B58" s="22">
        <v>7</v>
      </c>
      <c r="C58" s="26" t="s">
        <v>77</v>
      </c>
      <c r="D58" s="30">
        <v>133.53942499999999</v>
      </c>
      <c r="E58" s="30">
        <v>33.548921</v>
      </c>
      <c r="F58" s="34">
        <f t="shared" si="0"/>
        <v>1000</v>
      </c>
      <c r="G58" s="24">
        <v>10000</v>
      </c>
    </row>
    <row r="59" spans="1:8" ht="18">
      <c r="A59" s="22" t="s">
        <v>69</v>
      </c>
      <c r="B59" s="22">
        <v>8</v>
      </c>
      <c r="C59" s="26" t="s">
        <v>78</v>
      </c>
      <c r="D59" s="30">
        <v>133.53842499999999</v>
      </c>
      <c r="E59" s="30">
        <v>33.548133999999997</v>
      </c>
      <c r="F59" s="34">
        <f t="shared" si="0"/>
        <v>1000</v>
      </c>
      <c r="G59" s="24">
        <v>10000</v>
      </c>
    </row>
    <row r="60" spans="1:8" ht="18">
      <c r="A60" s="22" t="s">
        <v>69</v>
      </c>
      <c r="B60" s="22">
        <v>9</v>
      </c>
      <c r="C60" s="26" t="s">
        <v>79</v>
      </c>
      <c r="D60" s="30">
        <v>133.53831199999999</v>
      </c>
      <c r="E60" s="30">
        <v>33.548022000000003</v>
      </c>
      <c r="F60" s="34">
        <f t="shared" si="0"/>
        <v>1000</v>
      </c>
      <c r="G60" s="24">
        <v>10000</v>
      </c>
    </row>
    <row r="61" spans="1:8" ht="18">
      <c r="A61" s="22" t="s">
        <v>69</v>
      </c>
      <c r="B61" s="22">
        <v>10</v>
      </c>
      <c r="C61" s="26" t="s">
        <v>80</v>
      </c>
      <c r="D61" s="30">
        <v>133.537981</v>
      </c>
      <c r="E61" s="30">
        <v>33.547893000000002</v>
      </c>
      <c r="F61" s="34">
        <f t="shared" si="0"/>
        <v>1000</v>
      </c>
      <c r="G61" s="24">
        <v>10000</v>
      </c>
    </row>
    <row r="62" spans="1:8" ht="18">
      <c r="A62" s="22" t="s">
        <v>69</v>
      </c>
      <c r="B62" s="22">
        <v>11</v>
      </c>
      <c r="C62" s="26" t="s">
        <v>81</v>
      </c>
      <c r="D62" s="30">
        <v>133.537319</v>
      </c>
      <c r="E62" s="30">
        <v>33.548119</v>
      </c>
      <c r="F62" s="34">
        <f t="shared" si="0"/>
        <v>1000</v>
      </c>
      <c r="G62" s="24">
        <v>10000</v>
      </c>
    </row>
    <row r="63" spans="1:8" ht="18">
      <c r="A63" s="22" t="s">
        <v>69</v>
      </c>
      <c r="B63" s="22">
        <v>12</v>
      </c>
      <c r="C63" s="26" t="s">
        <v>82</v>
      </c>
      <c r="D63" s="30">
        <v>133.537442</v>
      </c>
      <c r="E63" s="30">
        <v>33.547105999999999</v>
      </c>
      <c r="F63" s="34">
        <f t="shared" si="0"/>
        <v>1000</v>
      </c>
      <c r="G63" s="24">
        <v>10000</v>
      </c>
    </row>
    <row r="64" spans="1:8" ht="18">
      <c r="A64" s="22" t="s">
        <v>69</v>
      </c>
      <c r="B64" s="22">
        <v>13</v>
      </c>
      <c r="C64" s="26" t="s">
        <v>83</v>
      </c>
      <c r="D64" s="30">
        <v>133.537341</v>
      </c>
      <c r="E64" s="30">
        <v>33.546937</v>
      </c>
      <c r="F64" s="34">
        <f t="shared" si="0"/>
        <v>1000</v>
      </c>
      <c r="G64" s="24">
        <v>10000</v>
      </c>
    </row>
    <row r="65" spans="1:7" ht="18">
      <c r="A65" s="22" t="s">
        <v>69</v>
      </c>
      <c r="B65" s="22">
        <v>14</v>
      </c>
      <c r="C65" s="26" t="s">
        <v>84</v>
      </c>
      <c r="D65" s="30">
        <v>133.53727699999999</v>
      </c>
      <c r="E65" s="30">
        <v>33.546329999999998</v>
      </c>
      <c r="F65" s="34">
        <f t="shared" si="0"/>
        <v>1000</v>
      </c>
      <c r="G65" s="24">
        <v>10000</v>
      </c>
    </row>
    <row r="66" spans="1:7" ht="18">
      <c r="A66" s="22" t="s">
        <v>69</v>
      </c>
      <c r="B66" s="22">
        <v>15</v>
      </c>
      <c r="C66" s="26" t="s">
        <v>85</v>
      </c>
      <c r="D66" s="30">
        <v>133.537271</v>
      </c>
      <c r="E66" s="30">
        <v>33.545856000000001</v>
      </c>
      <c r="F66" s="34">
        <f t="shared" si="0"/>
        <v>1000</v>
      </c>
      <c r="G66" s="24">
        <v>10000</v>
      </c>
    </row>
    <row r="67" spans="1:7" ht="18">
      <c r="A67" s="22" t="s">
        <v>70</v>
      </c>
      <c r="B67" s="22">
        <v>1</v>
      </c>
      <c r="C67" s="26" t="s">
        <v>86</v>
      </c>
      <c r="D67" s="31">
        <v>133.53723400000001</v>
      </c>
      <c r="E67" s="30">
        <v>33.545071999999998</v>
      </c>
      <c r="F67" s="34">
        <f t="shared" ref="F67:F69" si="1">G67/10</f>
        <v>1000</v>
      </c>
      <c r="G67" s="24">
        <v>10000</v>
      </c>
    </row>
    <row r="68" spans="1:7" ht="18">
      <c r="A68" s="22" t="s">
        <v>70</v>
      </c>
      <c r="B68" s="22">
        <v>2</v>
      </c>
      <c r="C68" s="26" t="s">
        <v>87</v>
      </c>
      <c r="D68" s="30">
        <v>133.53716</v>
      </c>
      <c r="E68" s="30">
        <v>33.544513999999999</v>
      </c>
      <c r="F68" s="34">
        <f t="shared" si="1"/>
        <v>1000</v>
      </c>
      <c r="G68" s="24">
        <v>10000</v>
      </c>
    </row>
    <row r="69" spans="1:7" ht="18">
      <c r="A69" s="22" t="s">
        <v>70</v>
      </c>
      <c r="B69" s="22">
        <v>3</v>
      </c>
      <c r="C69" s="26" t="s">
        <v>88</v>
      </c>
      <c r="D69" s="30">
        <v>133.53700599999999</v>
      </c>
      <c r="E69" s="30">
        <v>33.543553000000003</v>
      </c>
      <c r="F69" s="34">
        <f t="shared" si="1"/>
        <v>1000</v>
      </c>
      <c r="G69" s="24">
        <v>10000</v>
      </c>
    </row>
    <row r="70" spans="1:7" ht="18">
      <c r="A70" s="22" t="s">
        <v>70</v>
      </c>
      <c r="B70" s="22">
        <v>4</v>
      </c>
      <c r="C70" s="26" t="s">
        <v>89</v>
      </c>
      <c r="D70" s="30">
        <v>133.53656000000001</v>
      </c>
      <c r="E70" s="30">
        <v>33.542323000000003</v>
      </c>
      <c r="F70" s="34">
        <f>G70/10</f>
        <v>1000</v>
      </c>
      <c r="G70" s="24">
        <v>10000</v>
      </c>
    </row>
    <row r="71" spans="1:7" ht="18">
      <c r="A71" s="22" t="s">
        <v>70</v>
      </c>
      <c r="B71" s="22">
        <v>5</v>
      </c>
      <c r="C71" s="26" t="s">
        <v>90</v>
      </c>
      <c r="D71" s="30">
        <v>133.535515237373</v>
      </c>
      <c r="E71" s="30">
        <v>33.540789328321203</v>
      </c>
      <c r="F71" s="34">
        <f t="shared" ref="F71:F88" si="2">G71/10</f>
        <v>1000</v>
      </c>
      <c r="G71" s="24">
        <v>10000</v>
      </c>
    </row>
    <row r="72" spans="1:7" ht="18">
      <c r="A72" s="22" t="s">
        <v>70</v>
      </c>
      <c r="B72" s="22">
        <v>6</v>
      </c>
      <c r="C72" s="26" t="s">
        <v>91</v>
      </c>
      <c r="D72" s="30">
        <v>133.535589815696</v>
      </c>
      <c r="E72" s="30">
        <v>33.540673508126702</v>
      </c>
      <c r="F72" s="34">
        <f t="shared" si="2"/>
        <v>1000</v>
      </c>
      <c r="G72" s="24">
        <v>10000</v>
      </c>
    </row>
    <row r="73" spans="1:7" ht="18">
      <c r="A73" s="22" t="s">
        <v>70</v>
      </c>
      <c r="B73" s="22">
        <v>7</v>
      </c>
      <c r="C73" s="26" t="s">
        <v>92</v>
      </c>
      <c r="D73" s="30">
        <v>133.53643600000001</v>
      </c>
      <c r="E73" s="30">
        <v>33.540816999999997</v>
      </c>
      <c r="F73" s="34">
        <f t="shared" si="2"/>
        <v>1000</v>
      </c>
      <c r="G73" s="24">
        <v>10000</v>
      </c>
    </row>
    <row r="74" spans="1:7" ht="18">
      <c r="A74" s="22" t="s">
        <v>70</v>
      </c>
      <c r="B74" s="22">
        <v>8</v>
      </c>
      <c r="C74" s="26" t="s">
        <v>93</v>
      </c>
      <c r="D74" s="30">
        <v>133.53740886943601</v>
      </c>
      <c r="E74" s="30">
        <v>33.540915701345298</v>
      </c>
      <c r="F74" s="34">
        <f t="shared" si="2"/>
        <v>1000</v>
      </c>
      <c r="G74" s="24">
        <v>10000</v>
      </c>
    </row>
    <row r="75" spans="1:7" ht="18">
      <c r="A75" s="22" t="s">
        <v>70</v>
      </c>
      <c r="B75" s="22">
        <v>9</v>
      </c>
      <c r="C75" s="26" t="s">
        <v>94</v>
      </c>
      <c r="D75" s="30">
        <v>133.53865400000001</v>
      </c>
      <c r="E75" s="30">
        <v>33.540770000000002</v>
      </c>
      <c r="F75" s="34">
        <f t="shared" si="2"/>
        <v>1000</v>
      </c>
      <c r="G75" s="24">
        <v>10000</v>
      </c>
    </row>
    <row r="76" spans="1:7" ht="18">
      <c r="A76" s="22" t="s">
        <v>70</v>
      </c>
      <c r="B76" s="22">
        <v>10</v>
      </c>
      <c r="C76" s="26" t="s">
        <v>95</v>
      </c>
      <c r="D76" s="30">
        <v>133.53957600000001</v>
      </c>
      <c r="E76" s="30">
        <v>33.539566000000001</v>
      </c>
      <c r="F76" s="34">
        <f t="shared" si="2"/>
        <v>1000</v>
      </c>
      <c r="G76" s="24">
        <v>10000</v>
      </c>
    </row>
    <row r="77" spans="1:7" ht="18">
      <c r="A77" s="22" t="s">
        <v>70</v>
      </c>
      <c r="B77" s="22">
        <v>11</v>
      </c>
      <c r="C77" s="26" t="s">
        <v>96</v>
      </c>
      <c r="D77" s="30">
        <v>133.540762</v>
      </c>
      <c r="E77" s="30">
        <v>33.539157000000003</v>
      </c>
      <c r="F77" s="34">
        <f t="shared" si="2"/>
        <v>1000</v>
      </c>
      <c r="G77" s="24">
        <v>10000</v>
      </c>
    </row>
    <row r="78" spans="1:7" ht="18">
      <c r="A78" s="22" t="s">
        <v>70</v>
      </c>
      <c r="B78" s="22">
        <v>12</v>
      </c>
      <c r="C78" s="26" t="s">
        <v>97</v>
      </c>
      <c r="D78" s="31">
        <v>133.54081300000001</v>
      </c>
      <c r="E78" s="30">
        <v>33.538347000000002</v>
      </c>
      <c r="F78" s="34">
        <f t="shared" si="2"/>
        <v>1000</v>
      </c>
      <c r="G78" s="24">
        <v>10000</v>
      </c>
    </row>
    <row r="79" spans="1:7" ht="18">
      <c r="A79" s="22" t="s">
        <v>70</v>
      </c>
      <c r="B79" s="22">
        <v>13</v>
      </c>
      <c r="C79" s="26" t="s">
        <v>98</v>
      </c>
      <c r="D79" s="31">
        <v>133.53716</v>
      </c>
      <c r="E79" s="30">
        <v>33.535913000000001</v>
      </c>
      <c r="F79" s="34">
        <f t="shared" si="2"/>
        <v>1000</v>
      </c>
      <c r="G79" s="24">
        <v>10000</v>
      </c>
    </row>
    <row r="80" spans="1:7" ht="18">
      <c r="A80" s="22" t="s">
        <v>70</v>
      </c>
      <c r="B80" s="22">
        <v>14</v>
      </c>
      <c r="C80" s="26" t="s">
        <v>99</v>
      </c>
      <c r="D80" s="31">
        <v>133.54010400000001</v>
      </c>
      <c r="E80" s="30">
        <v>33.536492000000003</v>
      </c>
      <c r="F80" s="34">
        <f t="shared" si="2"/>
        <v>1000</v>
      </c>
      <c r="G80" s="24">
        <v>10000</v>
      </c>
    </row>
    <row r="81" spans="1:7" ht="18">
      <c r="A81" s="22" t="s">
        <v>70</v>
      </c>
      <c r="B81" s="22">
        <v>15</v>
      </c>
      <c r="C81" s="26" t="s">
        <v>100</v>
      </c>
      <c r="D81" s="32">
        <v>133.54188199999999</v>
      </c>
      <c r="E81" s="30">
        <v>33.536946999999998</v>
      </c>
      <c r="F81" s="34">
        <f t="shared" si="2"/>
        <v>1000</v>
      </c>
      <c r="G81" s="24">
        <v>10000</v>
      </c>
    </row>
    <row r="82" spans="1:7" ht="18">
      <c r="A82" s="22" t="s">
        <v>70</v>
      </c>
      <c r="B82" s="22">
        <v>16</v>
      </c>
      <c r="C82" s="26" t="s">
        <v>101</v>
      </c>
      <c r="D82" s="30">
        <v>133.54280700000001</v>
      </c>
      <c r="E82" s="30">
        <v>33.537013999999999</v>
      </c>
      <c r="F82" s="34">
        <f t="shared" si="2"/>
        <v>1000</v>
      </c>
      <c r="G82" s="24">
        <v>10000</v>
      </c>
    </row>
    <row r="83" spans="1:7" ht="18">
      <c r="A83" s="22" t="s">
        <v>70</v>
      </c>
      <c r="B83" s="22">
        <v>17</v>
      </c>
      <c r="C83" s="26" t="s">
        <v>102</v>
      </c>
      <c r="D83" s="31">
        <v>133.54369700000001</v>
      </c>
      <c r="E83" s="30">
        <v>33.536918999999997</v>
      </c>
      <c r="F83" s="34">
        <f t="shared" si="2"/>
        <v>1000</v>
      </c>
      <c r="G83" s="24">
        <v>10000</v>
      </c>
    </row>
    <row r="84" spans="1:7" ht="18">
      <c r="A84" s="22" t="s">
        <v>70</v>
      </c>
      <c r="B84" s="22">
        <v>18</v>
      </c>
      <c r="C84" s="26" t="s">
        <v>103</v>
      </c>
      <c r="D84" s="30">
        <v>133.54517999999999</v>
      </c>
      <c r="E84" s="30">
        <v>33.536490999999998</v>
      </c>
      <c r="F84" s="34">
        <f t="shared" si="2"/>
        <v>1000</v>
      </c>
      <c r="G84" s="24">
        <v>10000</v>
      </c>
    </row>
    <row r="85" spans="1:7" ht="18">
      <c r="A85" s="22" t="s">
        <v>70</v>
      </c>
      <c r="B85" s="22">
        <v>19</v>
      </c>
      <c r="C85" s="26" t="s">
        <v>104</v>
      </c>
      <c r="D85" s="31">
        <v>133.545728</v>
      </c>
      <c r="E85" s="30">
        <v>33.536499999999997</v>
      </c>
      <c r="F85" s="34">
        <f t="shared" si="2"/>
        <v>1000</v>
      </c>
      <c r="G85" s="24">
        <v>10000</v>
      </c>
    </row>
    <row r="86" spans="1:7" ht="18">
      <c r="A86" s="22" t="s">
        <v>70</v>
      </c>
      <c r="B86" s="22">
        <v>20</v>
      </c>
      <c r="C86" s="26" t="s">
        <v>105</v>
      </c>
      <c r="D86" s="30">
        <v>133.54834099999999</v>
      </c>
      <c r="E86" s="30">
        <v>33.536177000000002</v>
      </c>
      <c r="F86" s="34">
        <f t="shared" si="2"/>
        <v>1000</v>
      </c>
      <c r="G86" s="24">
        <v>10000</v>
      </c>
    </row>
    <row r="87" spans="1:7" ht="18">
      <c r="A87" s="22" t="s">
        <v>70</v>
      </c>
      <c r="B87" s="22">
        <v>21</v>
      </c>
      <c r="C87" s="26" t="s">
        <v>106</v>
      </c>
      <c r="D87" s="30">
        <v>133.54942600000001</v>
      </c>
      <c r="E87" s="30">
        <v>33.536281000000002</v>
      </c>
      <c r="F87" s="34">
        <f t="shared" si="2"/>
        <v>1000</v>
      </c>
      <c r="G87" s="24">
        <v>10000</v>
      </c>
    </row>
    <row r="88" spans="1:7" ht="18">
      <c r="A88" s="22" t="s">
        <v>70</v>
      </c>
      <c r="B88" s="22">
        <v>22</v>
      </c>
      <c r="C88" s="26" t="s">
        <v>107</v>
      </c>
      <c r="D88" s="31">
        <v>133.5497</v>
      </c>
      <c r="E88" s="30">
        <v>33.536262000000001</v>
      </c>
      <c r="F88" s="34">
        <f t="shared" si="2"/>
        <v>1000</v>
      </c>
      <c r="G88" s="24">
        <v>10000</v>
      </c>
    </row>
    <row r="89" spans="1:7" ht="16.5">
      <c r="F89" s="35">
        <f>SUM(F2:F88)</f>
        <v>40497</v>
      </c>
    </row>
  </sheetData>
  <phoneticPr fontId="4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/>
  <cols>
    <col min="1" max="1" width="60" customWidth="1"/>
  </cols>
  <sheetData>
    <row r="1" spans="1:2">
      <c r="A1" s="14" t="s">
        <v>21</v>
      </c>
      <c r="B1" s="14" t="s">
        <v>22</v>
      </c>
    </row>
    <row r="2" spans="1:2">
      <c r="A2" t="s">
        <v>23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B5" t="s">
        <v>29</v>
      </c>
    </row>
    <row r="6" spans="1:2">
      <c r="B6" t="s">
        <v>30</v>
      </c>
    </row>
    <row r="7" spans="1:2">
      <c r="A7" t="s">
        <v>31</v>
      </c>
      <c r="B7" t="s">
        <v>32</v>
      </c>
    </row>
    <row r="8" spans="1:2">
      <c r="A8" t="s">
        <v>33</v>
      </c>
      <c r="B8" t="s">
        <v>34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潮江地区 津波避難ビル</vt:lpstr>
      <vt:lpstr>注釈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Shoko Sato</cp:lastModifiedBy>
  <dcterms:created xsi:type="dcterms:W3CDTF">2026-05-23T03:46:27Z</dcterms:created>
  <dcterms:modified xsi:type="dcterms:W3CDTF">2026-08-08T02:18:49Z</dcterms:modified>
</cp:coreProperties>
</file>